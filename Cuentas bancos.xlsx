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ros ordenadores\Mi portátil\Desktop\Conciliacion\"/>
    </mc:Choice>
  </mc:AlternateContent>
  <xr:revisionPtr revIDLastSave="0" documentId="13_ncr:1_{96CDC5CD-CC4D-41D2-8975-BB41C0B21B97}" xr6:coauthVersionLast="47" xr6:coauthVersionMax="47" xr10:uidLastSave="{00000000-0000-0000-0000-000000000000}"/>
  <bookViews>
    <workbookView xWindow="-110" yWindow="-110" windowWidth="19420" windowHeight="11500" xr2:uid="{52D0CD0F-A890-48B3-9ED9-E87DCFAC95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1" l="1"/>
  <c r="D18" i="1"/>
  <c r="E19" i="1"/>
  <c r="C18" i="1"/>
  <c r="E21" i="1"/>
  <c r="D21" i="1"/>
  <c r="E16" i="1"/>
  <c r="B17" i="1"/>
  <c r="D16" i="1"/>
  <c r="E20" i="1"/>
  <c r="D19" i="1"/>
  <c r="B18" i="1"/>
  <c r="C19" i="1"/>
  <c r="C20" i="1"/>
  <c r="B20" i="1"/>
  <c r="B21" i="1"/>
  <c r="E17" i="1"/>
  <c r="B19" i="1"/>
  <c r="C21" i="1"/>
  <c r="B16" i="1"/>
  <c r="C17" i="1"/>
  <c r="D20" i="1"/>
  <c r="D17" i="1"/>
  <c r="E18" i="1"/>
</calcChain>
</file>

<file path=xl/sharedStrings.xml><?xml version="1.0" encoding="utf-8"?>
<sst xmlns="http://schemas.openxmlformats.org/spreadsheetml/2006/main" count="67" uniqueCount="40">
  <si>
    <t>CUENTA</t>
  </si>
  <si>
    <t>EMPRESA</t>
  </si>
  <si>
    <t>BANCO</t>
  </si>
  <si>
    <t xml:space="preserve">Responsable </t>
  </si>
  <si>
    <t>AVVILLAS4910</t>
  </si>
  <si>
    <t>CA</t>
  </si>
  <si>
    <t>AVVILLAS</t>
  </si>
  <si>
    <t>Cartera</t>
  </si>
  <si>
    <t>BANCOLOMBIA0616</t>
  </si>
  <si>
    <t>BANCOLOMBIA</t>
  </si>
  <si>
    <t>Consignaciones/Cartera</t>
  </si>
  <si>
    <t>BANCOLOMBIA6774</t>
  </si>
  <si>
    <t>BBVA1730</t>
  </si>
  <si>
    <t>BBVA</t>
  </si>
  <si>
    <t>BCSC5337</t>
  </si>
  <si>
    <t>BCSC</t>
  </si>
  <si>
    <t>DAVIVIENDA6100</t>
  </si>
  <si>
    <t>DAVIVIENDA</t>
  </si>
  <si>
    <t>Datafonos</t>
  </si>
  <si>
    <t>DAVIVIENDA8744</t>
  </si>
  <si>
    <t>Consignaciones</t>
  </si>
  <si>
    <t>FSUDAMERIS3050</t>
  </si>
  <si>
    <t>FSUDAMERIS</t>
  </si>
  <si>
    <t>ITAU3956</t>
  </si>
  <si>
    <t>ITAU</t>
  </si>
  <si>
    <t>ITAU7884</t>
  </si>
  <si>
    <t>OCCIDENTE0826</t>
  </si>
  <si>
    <t>OCCIDENTE</t>
  </si>
  <si>
    <t>POPULAR3167</t>
  </si>
  <si>
    <t>POPULAR</t>
  </si>
  <si>
    <t>SUDAMERIS5837</t>
  </si>
  <si>
    <t>SUDAMERIS</t>
  </si>
  <si>
    <t>FIDU DAVIVIENDA</t>
  </si>
  <si>
    <t>CUENTA MAYOR</t>
  </si>
  <si>
    <t>11100501</t>
  </si>
  <si>
    <t>11100511</t>
  </si>
  <si>
    <t>11100531</t>
  </si>
  <si>
    <t>11100541</t>
  </si>
  <si>
    <t>11100571</t>
  </si>
  <si>
    <t>11200511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</si>
</sst>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D0059"/>
        <bgColor indexed="64"/>
      </patternFill>
    </fill>
    <fill>
      <patternFill patternType="solid">
        <fgColor rgb="FFB40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0" borderId="1" xfId="0" applyFont="1" applyBorder="1"/>
    <xf numFmtId="0" fontId="2" fillId="3" borderId="1" xfId="0" applyNumberFormat="1" applyFont="1" applyFill="1" applyBorder="1" applyAlignment="1">
      <alignment horizontal="center"/>
    </xf>
    <xf numFmtId="0" fontId="4" fillId="0" borderId="1" xfId="0" applyNumberFormat="1" applyFont="1" applyBorder="1" applyAlignment="1">
      <alignment horizontal="left"/>
    </xf>
    <xf numFmtId="0" fontId="0" fillId="0" borderId="0" xfId="0" applyNumberFormat="1"/>
    <xf numFmtId="0" fontId="0" fillId="0" borderId="1" xfId="0" applyBorder="1" applyAlignment="1">
      <alignment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E770B-9C2F-4AA0-B21B-848A2F44D913}">
  <dimension ref="A1:E21"/>
  <sheetViews>
    <sheetView tabSelected="1" workbookViewId="0">
      <selection sqref="A1:E21"/>
    </sheetView>
  </sheetViews>
  <sheetFormatPr baseColWidth="10" defaultRowHeight="14.5" x14ac:dyDescent="0.35"/>
  <cols>
    <col min="1" max="1" width="10.90625" style="6"/>
    <col min="2" max="2" width="23.453125" customWidth="1"/>
    <col min="4" max="4" width="14.08984375" customWidth="1"/>
    <col min="5" max="5" width="20.7265625" bestFit="1" customWidth="1"/>
  </cols>
  <sheetData>
    <row r="1" spans="1:5" x14ac:dyDescent="0.35">
      <c r="A1" s="4" t="s">
        <v>33</v>
      </c>
      <c r="B1" s="1" t="s">
        <v>0</v>
      </c>
      <c r="C1" s="2" t="s">
        <v>1</v>
      </c>
      <c r="D1" s="2" t="s">
        <v>2</v>
      </c>
      <c r="E1" s="2" t="s">
        <v>3</v>
      </c>
    </row>
    <row r="2" spans="1:5" x14ac:dyDescent="0.35">
      <c r="A2" s="5">
        <v>11100591</v>
      </c>
      <c r="B2" s="3" t="s">
        <v>4</v>
      </c>
      <c r="C2" s="3" t="s">
        <v>5</v>
      </c>
      <c r="D2" s="3" t="s">
        <v>6</v>
      </c>
      <c r="E2" s="3" t="s">
        <v>7</v>
      </c>
    </row>
    <row r="3" spans="1:5" x14ac:dyDescent="0.35">
      <c r="A3" s="5">
        <v>11100501</v>
      </c>
      <c r="B3" s="3" t="s">
        <v>8</v>
      </c>
      <c r="C3" s="3" t="s">
        <v>5</v>
      </c>
      <c r="D3" s="3" t="s">
        <v>9</v>
      </c>
      <c r="E3" s="3" t="s">
        <v>10</v>
      </c>
    </row>
    <row r="4" spans="1:5" x14ac:dyDescent="0.35">
      <c r="A4" s="5">
        <v>11100511</v>
      </c>
      <c r="B4" s="3" t="s">
        <v>11</v>
      </c>
      <c r="C4" s="3" t="s">
        <v>5</v>
      </c>
      <c r="D4" s="3" t="s">
        <v>9</v>
      </c>
      <c r="E4" s="3" t="s">
        <v>10</v>
      </c>
    </row>
    <row r="5" spans="1:5" x14ac:dyDescent="0.35">
      <c r="A5" s="5">
        <v>11100571</v>
      </c>
      <c r="B5" s="3" t="s">
        <v>12</v>
      </c>
      <c r="C5" s="3" t="s">
        <v>5</v>
      </c>
      <c r="D5" s="3" t="s">
        <v>13</v>
      </c>
      <c r="E5" s="3" t="s">
        <v>7</v>
      </c>
    </row>
    <row r="6" spans="1:5" x14ac:dyDescent="0.35">
      <c r="A6" s="5">
        <v>11100581</v>
      </c>
      <c r="B6" s="3" t="s">
        <v>14</v>
      </c>
      <c r="C6" s="3" t="s">
        <v>5</v>
      </c>
      <c r="D6" s="3" t="s">
        <v>15</v>
      </c>
      <c r="E6" s="3" t="s">
        <v>7</v>
      </c>
    </row>
    <row r="7" spans="1:5" x14ac:dyDescent="0.35">
      <c r="A7" s="5">
        <v>11200511</v>
      </c>
      <c r="B7" s="3" t="s">
        <v>16</v>
      </c>
      <c r="C7" s="3" t="s">
        <v>5</v>
      </c>
      <c r="D7" s="3" t="s">
        <v>17</v>
      </c>
      <c r="E7" s="3" t="s">
        <v>18</v>
      </c>
    </row>
    <row r="8" spans="1:5" x14ac:dyDescent="0.35">
      <c r="A8" s="5">
        <v>11100541</v>
      </c>
      <c r="B8" s="3" t="s">
        <v>19</v>
      </c>
      <c r="C8" s="3" t="s">
        <v>5</v>
      </c>
      <c r="D8" s="3" t="s">
        <v>17</v>
      </c>
      <c r="E8" s="3" t="s">
        <v>20</v>
      </c>
    </row>
    <row r="9" spans="1:5" x14ac:dyDescent="0.35">
      <c r="A9" s="5">
        <v>12450201</v>
      </c>
      <c r="B9" s="3" t="s">
        <v>21</v>
      </c>
      <c r="C9" s="3" t="s">
        <v>5</v>
      </c>
      <c r="D9" s="3" t="s">
        <v>22</v>
      </c>
      <c r="E9" s="3" t="s">
        <v>7</v>
      </c>
    </row>
    <row r="10" spans="1:5" x14ac:dyDescent="0.35">
      <c r="A10" s="5">
        <v>11100531</v>
      </c>
      <c r="B10" s="3" t="s">
        <v>23</v>
      </c>
      <c r="C10" s="3" t="s">
        <v>5</v>
      </c>
      <c r="D10" s="3" t="s">
        <v>24</v>
      </c>
      <c r="E10" s="3" t="s">
        <v>7</v>
      </c>
    </row>
    <row r="11" spans="1:5" x14ac:dyDescent="0.35">
      <c r="A11" s="5">
        <v>11200501</v>
      </c>
      <c r="B11" s="3" t="s">
        <v>25</v>
      </c>
      <c r="C11" s="3" t="s">
        <v>5</v>
      </c>
      <c r="D11" s="3" t="s">
        <v>24</v>
      </c>
      <c r="E11" s="3" t="s">
        <v>7</v>
      </c>
    </row>
    <row r="12" spans="1:5" x14ac:dyDescent="0.35">
      <c r="A12" s="5">
        <v>11100561</v>
      </c>
      <c r="B12" s="3" t="s">
        <v>26</v>
      </c>
      <c r="C12" s="3" t="s">
        <v>5</v>
      </c>
      <c r="D12" s="3" t="s">
        <v>27</v>
      </c>
      <c r="E12" s="3" t="s">
        <v>7</v>
      </c>
    </row>
    <row r="13" spans="1:5" x14ac:dyDescent="0.35">
      <c r="A13" s="5">
        <v>11100521</v>
      </c>
      <c r="B13" s="3" t="s">
        <v>28</v>
      </c>
      <c r="C13" s="3" t="s">
        <v>5</v>
      </c>
      <c r="D13" s="3" t="s">
        <v>29</v>
      </c>
      <c r="E13" s="3" t="s">
        <v>7</v>
      </c>
    </row>
    <row r="14" spans="1:5" x14ac:dyDescent="0.35">
      <c r="A14" s="5">
        <v>11100551</v>
      </c>
      <c r="B14" s="3" t="s">
        <v>30</v>
      </c>
      <c r="C14" s="3" t="s">
        <v>5</v>
      </c>
      <c r="D14" s="3" t="s">
        <v>31</v>
      </c>
      <c r="E14" s="3" t="s">
        <v>7</v>
      </c>
    </row>
    <row r="15" spans="1:5" x14ac:dyDescent="0.35">
      <c r="A15" s="5">
        <v>11200601</v>
      </c>
      <c r="B15" s="3" t="s">
        <v>32</v>
      </c>
      <c r="C15" s="3" t="s">
        <v>5</v>
      </c>
      <c r="D15" s="3" t="s">
        <v>32</v>
      </c>
      <c r="E15" s="3" t="s">
        <v>18</v>
      </c>
    </row>
    <row r="16" spans="1:5" x14ac:dyDescent="0.35">
      <c r="A16" s="7" t="s">
        <v>34</v>
      </c>
      <c r="B16" s="8" t="str">
        <f ca="1">VLOOKUP(A16,Hoja1!$A:$E,2,0)</f>
        <v>BANCOLOMBIA0616</v>
      </c>
      <c r="C16" s="8" t="str">
        <f ca="1">VLOOKUP(A16,Hoja1!$A:$E,3,0)</f>
        <v>CA</v>
      </c>
      <c r="D16" s="8" t="str">
        <f ca="1">VLOOKUP(A16,Hoja1!$A:$E,4,0)</f>
        <v>BANCOLOMBIA</v>
      </c>
      <c r="E16" s="8" t="str">
        <f ca="1">VLOOKUP(A16,Hoja1!$A:$E,5,0)</f>
        <v>Consignaciones/Cartera</v>
      </c>
    </row>
    <row r="17" spans="1:5" x14ac:dyDescent="0.35">
      <c r="A17" s="7" t="s">
        <v>35</v>
      </c>
      <c r="B17" s="8" t="str">
        <f ca="1">VLOOKUP(A17,Hoja1!$A:$E,2,0)</f>
        <v>BANCOLOMBIA6774</v>
      </c>
      <c r="C17" s="8" t="str">
        <f ca="1">VLOOKUP(A17,Hoja1!$A:$E,3,0)</f>
        <v>CA</v>
      </c>
      <c r="D17" s="8" t="str">
        <f ca="1">VLOOKUP(A17,Hoja1!$A:$E,4,0)</f>
        <v>BANCOLOMBIA</v>
      </c>
      <c r="E17" s="8" t="str">
        <f ca="1">VLOOKUP(A17,Hoja1!$A:$E,5,0)</f>
        <v>Consignaciones/Cartera</v>
      </c>
    </row>
    <row r="18" spans="1:5" x14ac:dyDescent="0.35">
      <c r="A18" s="7" t="s">
        <v>36</v>
      </c>
      <c r="B18" s="8" t="str">
        <f ca="1">VLOOKUP(A18,Hoja1!$A:$E,2,0)</f>
        <v>ITAU3956</v>
      </c>
      <c r="C18" s="8" t="str">
        <f ca="1">VLOOKUP(A18,Hoja1!$A:$E,3,0)</f>
        <v>CA</v>
      </c>
      <c r="D18" s="8" t="str">
        <f ca="1">VLOOKUP(A18,Hoja1!$A:$E,4,0)</f>
        <v>ITAU</v>
      </c>
      <c r="E18" s="8" t="str">
        <f ca="1">VLOOKUP(A18,Hoja1!$A:$E,5,0)</f>
        <v>Cartera</v>
      </c>
    </row>
    <row r="19" spans="1:5" x14ac:dyDescent="0.35">
      <c r="A19" s="7" t="s">
        <v>37</v>
      </c>
      <c r="B19" s="8" t="str">
        <f ca="1">VLOOKUP(A19,Hoja1!$A:$E,2,0)</f>
        <v>DAVIVIENDA8744</v>
      </c>
      <c r="C19" s="8" t="str">
        <f ca="1">VLOOKUP(A19,Hoja1!$A:$E,3,0)</f>
        <v>CA</v>
      </c>
      <c r="D19" s="8" t="str">
        <f ca="1">VLOOKUP(A19,Hoja1!$A:$E,4,0)</f>
        <v>DAVIVIENDA</v>
      </c>
      <c r="E19" s="8" t="str">
        <f ca="1">VLOOKUP(A19,Hoja1!$A:$E,5,0)</f>
        <v>Consignaciones</v>
      </c>
    </row>
    <row r="20" spans="1:5" x14ac:dyDescent="0.35">
      <c r="A20" s="7" t="s">
        <v>38</v>
      </c>
      <c r="B20" s="8" t="str">
        <f ca="1">VLOOKUP(A20,Hoja1!$A:$E,2,0)</f>
        <v>BBVA1730</v>
      </c>
      <c r="C20" s="8" t="str">
        <f ca="1">VLOOKUP(A20,Hoja1!$A:$E,3,0)</f>
        <v>CA</v>
      </c>
      <c r="D20" s="8" t="str">
        <f ca="1">VLOOKUP(A20,Hoja1!$A:$E,4,0)</f>
        <v>BBVA</v>
      </c>
      <c r="E20" s="8" t="str">
        <f ca="1">VLOOKUP(A20,Hoja1!$A:$E,5,0)</f>
        <v>Cartera</v>
      </c>
    </row>
    <row r="21" spans="1:5" x14ac:dyDescent="0.35">
      <c r="A21" s="7" t="s">
        <v>39</v>
      </c>
      <c r="B21" s="8" t="str">
        <f ca="1">VLOOKUP(A21,Hoja1!$A:$E,2,0)</f>
        <v>DAVIVIENDA6100</v>
      </c>
      <c r="C21" s="8" t="str">
        <f ca="1">VLOOKUP(A21,Hoja1!$A:$E,3,0)</f>
        <v>CA</v>
      </c>
      <c r="D21" s="8" t="str">
        <f ca="1">VLOOKUP(A21,Hoja1!$A:$E,4,0)</f>
        <v>DAVIVIENDA</v>
      </c>
      <c r="E21" s="8" t="str">
        <f ca="1">VLOOKUP(A21,Hoja1!$A:$E,5,0)</f>
        <v>Datafonos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Garcia</dc:creator>
  <cp:lastModifiedBy>Sandra Garcia</cp:lastModifiedBy>
  <dcterms:created xsi:type="dcterms:W3CDTF">2026-10-15T21:28:52Z</dcterms:created>
  <dcterms:modified xsi:type="dcterms:W3CDTF">2026-10-15T21:44:23Z</dcterms:modified>
</cp:coreProperties>
</file>